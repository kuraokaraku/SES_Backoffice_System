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雛型】請求書" sheetId="1" r:id="rId4"/>
  </sheets>
  <definedNames/>
  <calcPr/>
  <extLst>
    <ext uri="GoogleSheetsCustomDataVersion2">
      <go:sheetsCustomData xmlns:go="http://customooxmlschemas.google.com/" r:id="rId5" roundtripDataChecksum="BJjma9zYNuJmdCcAvMtjSOrhojGl+o7b2XIWsWHTmfc="/>
    </ext>
  </extLst>
</workbook>
</file>

<file path=xl/sharedStrings.xml><?xml version="1.0" encoding="utf-8"?>
<sst xmlns="http://schemas.openxmlformats.org/spreadsheetml/2006/main" count="40" uniqueCount="39">
  <si>
    <t>請　求　書</t>
  </si>
  <si>
    <t>No.</t>
  </si>
  <si>
    <t>T</t>
  </si>
  <si>
    <t>登録番号:</t>
  </si>
  <si>
    <t>T3012401042154</t>
  </si>
  <si>
    <t>←黄色箇所を最低限更新して、個々の請求書作成にあたる</t>
  </si>
  <si>
    <t>株式会社TechAmbition</t>
  </si>
  <si>
    <t>御中</t>
  </si>
  <si>
    <t>株式会社ITFL</t>
  </si>
  <si>
    <t>東京都府中市宮西町2-8-2 松原ビル</t>
  </si>
  <si>
    <t>TEL: 03-6260-8797</t>
  </si>
  <si>
    <t>＜お振込み期日＞</t>
  </si>
  <si>
    <t>（土）</t>
  </si>
  <si>
    <t>までにお振込み願います。</t>
  </si>
  <si>
    <t>https://drive.google.com/drive/folders/1gMuFrjUcKvBwqDeU9sG7q5Wta_ziuBKv</t>
  </si>
  <si>
    <t>税込合計金額</t>
  </si>
  <si>
    <t>￥</t>
  </si>
  <si>
    <t>内消費税額　￥</t>
  </si>
  <si>
    <t>品 名</t>
  </si>
  <si>
    <t>数 量</t>
  </si>
  <si>
    <t>単 価</t>
  </si>
  <si>
    <t>金 額</t>
  </si>
  <si>
    <t>摘 要</t>
  </si>
  <si>
    <t>コーポレート業務支援</t>
  </si>
  <si>
    <t>式</t>
  </si>
  <si>
    <t>1月分</t>
  </si>
  <si>
    <t>超過</t>
  </si>
  <si>
    <t>時間</t>
  </si>
  <si>
    <t>控除</t>
  </si>
  <si>
    <t>小 計</t>
  </si>
  <si>
    <t>消費税（10％）</t>
  </si>
  <si>
    <t>計</t>
  </si>
  <si>
    <t>交通費・宿泊</t>
  </si>
  <si>
    <t>泊分</t>
  </si>
  <si>
    <t>合　計</t>
  </si>
  <si>
    <t>お振り込みは下記銀行口座へお願い致します。</t>
  </si>
  <si>
    <t xml:space="preserve">　多摩信用金庫　府中支店 (006)
　普通　4397383　カ）アイティーエフエル</t>
  </si>
  <si>
    <t>＜備 考＞</t>
  </si>
  <si>
    <t>お振込み手数料は、貴殿にてご対応・ご負担頂けますと幸いです。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</si>
</sst>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-411]ggge&quot;年&quot;m&quot;月&quot;d&quot;日&quot;"/>
    <numFmt numFmtId="165" formatCode="yyyy年m月d日"/>
    <numFmt numFmtId="166" formatCode="yyyy/m/d"/>
    <numFmt numFmtId="167" formatCode="[$\-411]#,##0_);[Red]\([$\-411]#,##0\)"/>
    <numFmt numFmtId="168" formatCode="#,##0;&quot;▲ &quot;#,##0"/>
    <numFmt numFmtId="169" formatCode="0.00_ "/>
    <numFmt numFmtId="170" formatCode="0;&quot;▲ &quot;0"/>
    <numFmt numFmtId="171" formatCode="[$\-411]#,##0_);\([$\-411]#,##0\)"/>
    <numFmt numFmtId="172" formatCode="&quot;¥&quot;#,##0;[Red]&quot;¥&quot;#,##0"/>
  </numFmts>
  <fonts count="17">
    <font>
      <sz val="11.0"/>
      <color theme="1"/>
      <name val="Calibri"/>
      <scheme val="minor"/>
    </font>
    <font>
      <b/>
      <sz val="18.0"/>
      <color theme="0"/>
      <name val="游ゴシック"/>
    </font>
    <font/>
    <font>
      <sz val="11.0"/>
      <color theme="1"/>
      <name val="游ゴシック"/>
    </font>
    <font>
      <b/>
      <u/>
      <sz val="14.0"/>
      <color theme="1"/>
      <name val="游ゴシック"/>
    </font>
    <font>
      <b/>
      <sz val="14.0"/>
      <color theme="1"/>
      <name val="游ゴシック"/>
    </font>
    <font>
      <sz val="14.0"/>
      <color theme="1"/>
      <name val="游ゴシック"/>
    </font>
    <font>
      <sz val="12.0"/>
      <color theme="1"/>
      <name val="游ゴシック"/>
    </font>
    <font>
      <b/>
      <sz val="12.0"/>
      <color theme="1"/>
      <name val="游ゴシック"/>
    </font>
    <font>
      <sz val="16.0"/>
      <color theme="1"/>
      <name val="Arial"/>
    </font>
    <font>
      <color theme="1"/>
      <name val="Calibri"/>
    </font>
    <font>
      <sz val="11.0"/>
      <color theme="1"/>
      <name val="Calibri"/>
    </font>
    <font>
      <b/>
      <sz val="11.0"/>
      <color theme="1"/>
      <name val="游ゴシック"/>
    </font>
    <font>
      <u/>
      <sz val="11.0"/>
      <color theme="1"/>
      <name val="游ゴシック"/>
    </font>
    <font>
      <b/>
      <sz val="16.0"/>
      <color theme="1"/>
      <name val="游ゴシック"/>
    </font>
    <font>
      <sz val="10.0"/>
      <color theme="1"/>
      <name val="游ゴシック"/>
    </font>
    <font>
      <sz val="11.0"/>
      <color rgb="FFFFFFFF"/>
      <name val="游ゴシック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9">
    <border/>
    <border>
      <left/>
      <top/>
      <bottom/>
    </border>
    <border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right style="thick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3" fontId="3" numFmtId="0" xfId="0" applyAlignment="1" applyFill="1" applyFont="1">
      <alignment horizontal="right" vertical="center"/>
    </xf>
    <xf borderId="0" fillId="0" fontId="3" numFmtId="1" xfId="0" applyAlignment="1" applyFont="1" applyNumberFormat="1">
      <alignment horizontal="right" vertical="center"/>
    </xf>
    <xf borderId="0" fillId="3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164" xfId="0" applyAlignment="1" applyFont="1" applyNumberFormat="1">
      <alignment horizontal="left" vertical="center"/>
    </xf>
    <xf borderId="0" fillId="3" fontId="7" numFmtId="165" xfId="0" applyAlignment="1" applyFont="1" applyNumberFormat="1">
      <alignment horizontal="left" vertical="center"/>
    </xf>
    <xf borderId="0" fillId="0" fontId="8" numFmtId="0" xfId="0" applyAlignment="1" applyFont="1">
      <alignment horizontal="left" shrinkToFit="1" vertical="center" wrapText="0"/>
    </xf>
    <xf borderId="0" fillId="0" fontId="9" numFmtId="0" xfId="0" applyAlignment="1" applyFont="1">
      <alignment vertical="center"/>
    </xf>
    <xf borderId="0" fillId="0" fontId="10" numFmtId="0" xfId="0" applyFont="1"/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3" fillId="4" fontId="5" numFmtId="166" xfId="0" applyAlignment="1" applyBorder="1" applyFill="1" applyFont="1" applyNumberFormat="1">
      <alignment horizontal="right" vertical="center"/>
    </xf>
    <xf borderId="4" fillId="4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6" fillId="4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4" fontId="14" numFmtId="167" xfId="0" applyAlignment="1" applyBorder="1" applyFont="1" applyNumberFormat="1">
      <alignment horizontal="right" vertical="center"/>
    </xf>
    <xf borderId="9" fillId="0" fontId="2" numFmtId="0" xfId="0" applyBorder="1" applyFont="1"/>
    <xf borderId="10" fillId="4" fontId="14" numFmtId="168" xfId="0" applyAlignment="1" applyBorder="1" applyFont="1" applyNumberFormat="1">
      <alignment horizontal="left" vertical="center"/>
    </xf>
    <xf borderId="11" fillId="4" fontId="7" numFmtId="0" xfId="0" applyAlignment="1" applyBorder="1" applyFont="1">
      <alignment horizontal="right" vertical="center"/>
    </xf>
    <xf borderId="12" fillId="4" fontId="7" numFmtId="168" xfId="0" applyAlignment="1" applyBorder="1" applyFont="1" applyNumberFormat="1">
      <alignment horizontal="left" vertical="center"/>
    </xf>
    <xf borderId="13" fillId="0" fontId="2" numFmtId="0" xfId="0" applyBorder="1" applyFont="1"/>
    <xf borderId="14" fillId="0" fontId="12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12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12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15" numFmtId="0" xfId="0" applyAlignment="1" applyBorder="1" applyFont="1">
      <alignment horizontal="right" shrinkToFit="0" vertical="center" wrapText="1"/>
    </xf>
    <xf borderId="22" fillId="5" fontId="16" numFmtId="0" xfId="0" applyAlignment="1" applyBorder="1" applyFill="1" applyFont="1">
      <alignment horizontal="center" shrinkToFit="0" vertical="center" wrapText="1"/>
    </xf>
    <xf borderId="23" fillId="0" fontId="3" numFmtId="0" xfId="0" applyAlignment="1" applyBorder="1" applyFont="1">
      <alignment horizontal="right" vertical="center"/>
    </xf>
    <xf borderId="24" fillId="0" fontId="3" numFmtId="0" xfId="0" applyAlignment="1" applyBorder="1" applyFont="1">
      <alignment horizontal="center" vertical="center"/>
    </xf>
    <xf borderId="25" fillId="0" fontId="3" numFmtId="38" xfId="0" applyAlignment="1" applyBorder="1" applyFont="1" applyNumberFormat="1">
      <alignment vertical="center"/>
    </xf>
    <xf borderId="25" fillId="0" fontId="3" numFmtId="3" xfId="0" applyAlignment="1" applyBorder="1" applyFont="1" applyNumberFormat="1">
      <alignment horizontal="center" vertical="center"/>
    </xf>
    <xf borderId="24" fillId="0" fontId="3" numFmtId="168" xfId="0" applyAlignment="1" applyBorder="1" applyFont="1" applyNumberFormat="1">
      <alignment vertical="center"/>
    </xf>
    <xf borderId="25" fillId="0" fontId="3" numFmtId="0" xfId="0" applyAlignment="1" applyBorder="1" applyFont="1">
      <alignment vertical="top"/>
    </xf>
    <xf borderId="26" fillId="0" fontId="2" numFmtId="0" xfId="0" applyBorder="1" applyFont="1"/>
    <xf borderId="27" fillId="0" fontId="2" numFmtId="0" xfId="0" applyBorder="1" applyFont="1"/>
    <xf borderId="28" fillId="3" fontId="15" numFmtId="0" xfId="0" applyAlignment="1" applyBorder="1" applyFont="1">
      <alignment horizontal="right" shrinkToFit="0" vertical="center" wrapText="1"/>
    </xf>
    <xf borderId="29" fillId="0" fontId="2" numFmtId="0" xfId="0" applyBorder="1" applyFont="1"/>
    <xf borderId="16" fillId="0" fontId="2" numFmtId="0" xfId="0" applyBorder="1" applyFont="1"/>
    <xf borderId="18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28" fillId="0" fontId="3" numFmtId="0" xfId="0" applyAlignment="1" applyBorder="1" applyFont="1">
      <alignment horizontal="right" shrinkToFit="0" vertical="center" wrapText="1"/>
    </xf>
    <xf borderId="29" fillId="0" fontId="3" numFmtId="0" xfId="0" applyAlignment="1" applyBorder="1" applyFont="1">
      <alignment horizontal="right" shrinkToFit="0" vertical="center" wrapText="1"/>
    </xf>
    <xf borderId="32" fillId="0" fontId="3" numFmtId="169" xfId="0" applyAlignment="1" applyBorder="1" applyFont="1" applyNumberFormat="1">
      <alignment horizontal="right" vertical="center"/>
    </xf>
    <xf borderId="33" fillId="0" fontId="3" numFmtId="0" xfId="0" applyAlignment="1" applyBorder="1" applyFont="1">
      <alignment horizontal="center" vertical="center"/>
    </xf>
    <xf borderId="34" fillId="0" fontId="3" numFmtId="38" xfId="0" applyAlignment="1" applyBorder="1" applyFont="1" applyNumberFormat="1">
      <alignment vertical="center"/>
    </xf>
    <xf borderId="34" fillId="0" fontId="3" numFmtId="3" xfId="0" applyAlignment="1" applyBorder="1" applyFont="1" applyNumberFormat="1">
      <alignment horizontal="center" vertical="center"/>
    </xf>
    <xf borderId="33" fillId="0" fontId="3" numFmtId="168" xfId="0" applyAlignment="1" applyBorder="1" applyFont="1" applyNumberFormat="1">
      <alignment vertical="center"/>
    </xf>
    <xf borderId="35" fillId="0" fontId="3" numFmtId="0" xfId="0" applyAlignment="1" applyBorder="1" applyFont="1">
      <alignment horizontal="right" shrinkToFit="0" vertical="center" wrapText="1"/>
    </xf>
    <xf borderId="16" fillId="0" fontId="3" numFmtId="0" xfId="0" applyAlignment="1" applyBorder="1" applyFont="1">
      <alignment horizontal="right" vertical="center"/>
    </xf>
    <xf borderId="35" fillId="0" fontId="12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right" shrinkToFit="0" vertical="center" wrapText="1"/>
    </xf>
    <xf borderId="34" fillId="0" fontId="3" numFmtId="170" xfId="0" applyAlignment="1" applyBorder="1" applyFont="1" applyNumberFormat="1">
      <alignment vertical="center"/>
    </xf>
    <xf borderId="33" fillId="0" fontId="12" numFmtId="168" xfId="0" applyAlignment="1" applyBorder="1" applyFont="1" applyNumberFormat="1">
      <alignment vertical="center"/>
    </xf>
    <xf borderId="35" fillId="0" fontId="15" numFmtId="0" xfId="0" applyAlignment="1" applyBorder="1" applyFont="1">
      <alignment horizontal="center" shrinkToFit="0" vertical="center" wrapText="1"/>
    </xf>
    <xf borderId="36" fillId="0" fontId="15" numFmtId="0" xfId="0" applyAlignment="1" applyBorder="1" applyFont="1">
      <alignment horizontal="center" shrinkToFit="0" vertical="center" wrapText="1"/>
    </xf>
    <xf borderId="32" fillId="0" fontId="15" numFmtId="0" xfId="0" applyAlignment="1" applyBorder="1" applyFont="1">
      <alignment horizontal="right" shrinkToFit="0" vertical="center" wrapText="1"/>
    </xf>
    <xf borderId="34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3" fillId="0" fontId="3" numFmtId="38" xfId="0" applyAlignment="1" applyBorder="1" applyFont="1" applyNumberFormat="1">
      <alignment vertical="center"/>
    </xf>
    <xf borderId="25" fillId="0" fontId="3" numFmtId="170" xfId="0" applyAlignment="1" applyBorder="1" applyFont="1" applyNumberFormat="1">
      <alignment vertical="center"/>
    </xf>
    <xf borderId="25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37" fillId="0" fontId="5" numFmtId="0" xfId="0" applyAlignment="1" applyBorder="1" applyFont="1">
      <alignment horizontal="center" shrinkToFit="0" vertical="center" wrapText="1"/>
    </xf>
    <xf borderId="38" fillId="0" fontId="3" numFmtId="0" xfId="0" applyAlignment="1" applyBorder="1" applyFont="1">
      <alignment horizontal="center" shrinkToFit="0" vertical="center" wrapText="1"/>
    </xf>
    <xf borderId="39" fillId="0" fontId="3" numFmtId="0" xfId="0" applyAlignment="1" applyBorder="1" applyFont="1">
      <alignment horizontal="right" shrinkToFit="0" vertical="center" wrapText="1"/>
    </xf>
    <xf borderId="40" fillId="0" fontId="3" numFmtId="0" xfId="0" applyAlignment="1" applyBorder="1" applyFont="1">
      <alignment horizontal="center" vertical="center"/>
    </xf>
    <xf borderId="41" fillId="0" fontId="3" numFmtId="0" xfId="0" applyAlignment="1" applyBorder="1" applyFont="1">
      <alignment vertical="center"/>
    </xf>
    <xf borderId="41" fillId="0" fontId="3" numFmtId="171" xfId="0" applyAlignment="1" applyBorder="1" applyFont="1" applyNumberFormat="1">
      <alignment horizontal="center" vertical="center"/>
    </xf>
    <xf borderId="40" fillId="0" fontId="5" numFmtId="172" xfId="0" applyAlignment="1" applyBorder="1" applyFont="1" applyNumberFormat="1">
      <alignment vertical="center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3" numFmtId="0" xfId="0" applyAlignment="1" applyBorder="1" applyFont="1">
      <alignment vertical="center"/>
    </xf>
    <xf borderId="46" fillId="0" fontId="8" numFmtId="0" xfId="0" applyAlignment="1" applyBorder="1" applyFont="1">
      <alignment vertical="center"/>
    </xf>
    <xf borderId="47" fillId="0" fontId="2" numFmtId="0" xfId="0" applyBorder="1" applyFont="1"/>
    <xf borderId="4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6</xdr:row>
      <xdr:rowOff>238125</xdr:rowOff>
    </xdr:from>
    <xdr:ext cx="904875" cy="9048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MuFrjUcKvBwqDeU9sG7q5Wta_ziuBK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6.29"/>
    <col customWidth="1" min="3" max="3" width="4.14"/>
    <col customWidth="1" min="4" max="4" width="5.29"/>
    <col customWidth="1" min="5" max="5" width="12.0"/>
    <col customWidth="1" min="6" max="6" width="3.86"/>
    <col customWidth="1" min="7" max="7" width="15.29"/>
    <col customWidth="1" min="8" max="8" width="11.86"/>
    <col customWidth="1" min="9" max="9" width="3.0"/>
    <col customWidth="1" min="10" max="10" width="2.71"/>
    <col customWidth="1" min="11" max="11" width="2.86"/>
    <col customWidth="1" min="12" max="12" width="8.0"/>
    <col customWidth="1" min="13" max="26" width="13.0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/>
      <c r="B2" s="4"/>
      <c r="C2" s="4"/>
      <c r="D2" s="4"/>
      <c r="E2" s="4"/>
      <c r="F2" s="4"/>
      <c r="G2" s="4" t="s">
        <v>1</v>
      </c>
      <c r="H2" s="5">
        <v>202601.0</v>
      </c>
      <c r="I2" s="4" t="s">
        <v>2</v>
      </c>
      <c r="J2" s="4">
        <f>B16</f>
        <v>1</v>
      </c>
      <c r="K2" s="6">
        <v>1.0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/>
      <c r="B3" s="4"/>
      <c r="C3" s="4"/>
      <c r="D3" s="4"/>
      <c r="E3" s="4"/>
      <c r="F3" s="4"/>
      <c r="G3" s="4" t="s">
        <v>3</v>
      </c>
      <c r="H3" s="4" t="s">
        <v>4</v>
      </c>
      <c r="L3" s="3"/>
      <c r="M3" s="7"/>
      <c r="N3" s="3" t="s">
        <v>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8" t="s">
        <v>6</v>
      </c>
      <c r="B4" s="8"/>
      <c r="C4" s="9" t="s">
        <v>7</v>
      </c>
      <c r="D4" s="4"/>
      <c r="E4" s="4"/>
      <c r="F4" s="4"/>
      <c r="G4" s="4"/>
      <c r="H4" s="4"/>
      <c r="I4" s="4"/>
      <c r="J4" s="4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3"/>
      <c r="C5" s="10"/>
      <c r="D5" s="10"/>
      <c r="E5" s="10"/>
      <c r="F5" s="11">
        <v>46053.0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3"/>
      <c r="C6" s="4"/>
      <c r="D6" s="4"/>
      <c r="E6" s="4"/>
      <c r="F6" s="12" t="s">
        <v>8</v>
      </c>
      <c r="L6" s="1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3"/>
      <c r="C7" s="4"/>
      <c r="D7" s="4"/>
      <c r="E7" s="4"/>
      <c r="F7" s="14" t="s">
        <v>9</v>
      </c>
      <c r="G7" s="15"/>
      <c r="H7" s="15"/>
      <c r="I7" s="15"/>
      <c r="J7" s="15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3"/>
      <c r="C8" s="4"/>
      <c r="D8" s="4"/>
      <c r="E8" s="4"/>
      <c r="F8" s="15"/>
      <c r="G8" s="16" t="s">
        <v>10</v>
      </c>
      <c r="I8" s="15"/>
      <c r="J8" s="15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7"/>
      <c r="B9" s="17"/>
      <c r="C9" s="17"/>
      <c r="D9" s="17"/>
      <c r="E9" s="4"/>
      <c r="F9" s="15"/>
      <c r="G9" s="16"/>
      <c r="I9" s="18"/>
      <c r="J9" s="18"/>
      <c r="K9" s="1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D10" s="4"/>
      <c r="E10" s="4"/>
      <c r="F10" s="15"/>
      <c r="G10" s="16"/>
      <c r="H10" s="16"/>
      <c r="I10" s="18"/>
      <c r="J10" s="18"/>
      <c r="K10" s="1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9" t="s">
        <v>11</v>
      </c>
      <c r="B11" s="3"/>
      <c r="C11" s="4"/>
      <c r="D11" s="4"/>
      <c r="E11" s="4"/>
      <c r="F11" s="4"/>
      <c r="G11" s="20"/>
      <c r="H11" s="21"/>
      <c r="I11" s="21"/>
      <c r="J11" s="2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22">
        <v>45716.0</v>
      </c>
      <c r="B12" s="23" t="s">
        <v>12</v>
      </c>
      <c r="C12" s="24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5" t="s">
        <v>14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9.25" customHeight="1">
      <c r="A14" s="26" t="s">
        <v>15</v>
      </c>
      <c r="B14" s="27"/>
      <c r="C14" s="28" t="s">
        <v>16</v>
      </c>
      <c r="D14" s="29"/>
      <c r="E14" s="30">
        <f>G27</f>
        <v>495000</v>
      </c>
      <c r="F14" s="31" t="s">
        <v>17</v>
      </c>
      <c r="G14" s="29"/>
      <c r="H14" s="32">
        <f>G21</f>
        <v>45000</v>
      </c>
      <c r="I14" s="29"/>
      <c r="J14" s="29"/>
      <c r="K14" s="3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4" t="s">
        <v>18</v>
      </c>
      <c r="B15" s="35"/>
      <c r="C15" s="36" t="s">
        <v>19</v>
      </c>
      <c r="D15" s="37"/>
      <c r="E15" s="38" t="s">
        <v>20</v>
      </c>
      <c r="F15" s="38" t="s">
        <v>21</v>
      </c>
      <c r="G15" s="37"/>
      <c r="H15" s="39" t="s">
        <v>22</v>
      </c>
      <c r="I15" s="40"/>
      <c r="J15" s="40"/>
      <c r="K15" s="4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42" t="s">
        <v>23</v>
      </c>
      <c r="B16" s="43">
        <v>1.0</v>
      </c>
      <c r="C16" s="44">
        <v>1.0</v>
      </c>
      <c r="D16" s="45" t="s">
        <v>24</v>
      </c>
      <c r="E16" s="46">
        <v>450000.0</v>
      </c>
      <c r="F16" s="47"/>
      <c r="G16" s="48">
        <f>C16*E16</f>
        <v>450000</v>
      </c>
      <c r="H16" s="49"/>
      <c r="I16" s="50"/>
      <c r="J16" s="50"/>
      <c r="K16" s="5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2" t="s">
        <v>25</v>
      </c>
      <c r="B17" s="53"/>
      <c r="C17" s="54"/>
      <c r="D17" s="37"/>
      <c r="E17" s="55"/>
      <c r="F17" s="55"/>
      <c r="G17" s="37"/>
      <c r="H17" s="56"/>
      <c r="K17" s="5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58"/>
      <c r="B18" s="59" t="s">
        <v>26</v>
      </c>
      <c r="C18" s="60"/>
      <c r="D18" s="61" t="s">
        <v>27</v>
      </c>
      <c r="E18" s="62">
        <v>2500.0</v>
      </c>
      <c r="F18" s="63"/>
      <c r="G18" s="64">
        <f t="shared" ref="G18:G19" si="1">C18*E18</f>
        <v>0</v>
      </c>
      <c r="H18" s="56"/>
      <c r="K18" s="5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65"/>
      <c r="B19" s="59" t="s">
        <v>28</v>
      </c>
      <c r="C19" s="66"/>
      <c r="D19" s="61" t="s">
        <v>27</v>
      </c>
      <c r="E19" s="62">
        <v>3210.0</v>
      </c>
      <c r="F19" s="63"/>
      <c r="G19" s="64">
        <f t="shared" si="1"/>
        <v>0</v>
      </c>
      <c r="H19" s="56"/>
      <c r="K19" s="5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67" t="s">
        <v>29</v>
      </c>
      <c r="B20" s="68"/>
      <c r="C20" s="69"/>
      <c r="D20" s="61"/>
      <c r="E20" s="70"/>
      <c r="F20" s="63"/>
      <c r="G20" s="64">
        <f>SUM(G16:G19)</f>
        <v>450000</v>
      </c>
      <c r="H20" s="56"/>
      <c r="K20" s="5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67" t="s">
        <v>30</v>
      </c>
      <c r="B21" s="68"/>
      <c r="C21" s="69"/>
      <c r="D21" s="61"/>
      <c r="E21" s="70"/>
      <c r="F21" s="63"/>
      <c r="G21" s="64">
        <f>INT(G20*0.1)</f>
        <v>45000</v>
      </c>
      <c r="H21" s="56"/>
      <c r="K21" s="5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67" t="s">
        <v>31</v>
      </c>
      <c r="B22" s="68"/>
      <c r="C22" s="69"/>
      <c r="D22" s="61"/>
      <c r="E22" s="70"/>
      <c r="F22" s="63"/>
      <c r="G22" s="71">
        <f>G20+G21</f>
        <v>495000</v>
      </c>
      <c r="H22" s="56"/>
      <c r="K22" s="5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72"/>
      <c r="B23" s="73"/>
      <c r="C23" s="74"/>
      <c r="D23" s="61"/>
      <c r="E23" s="70"/>
      <c r="F23" s="75"/>
      <c r="G23" s="76"/>
      <c r="H23" s="56"/>
      <c r="K23" s="5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77"/>
      <c r="B24" s="68"/>
      <c r="C24" s="69"/>
      <c r="D24" s="61"/>
      <c r="E24" s="70"/>
      <c r="F24" s="75"/>
      <c r="G24" s="76"/>
      <c r="H24" s="56"/>
      <c r="K24" s="5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77" t="s">
        <v>32</v>
      </c>
      <c r="B25" s="68"/>
      <c r="C25" s="69"/>
      <c r="D25" s="61" t="s">
        <v>33</v>
      </c>
      <c r="E25" s="62"/>
      <c r="F25" s="75"/>
      <c r="G25" s="78"/>
      <c r="H25" s="56"/>
      <c r="K25" s="5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77"/>
      <c r="B26" s="68"/>
      <c r="C26" s="69"/>
      <c r="D26" s="61"/>
      <c r="E26" s="79"/>
      <c r="F26" s="80"/>
      <c r="G26" s="81"/>
      <c r="H26" s="56"/>
      <c r="K26" s="5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82" t="s">
        <v>34</v>
      </c>
      <c r="B27" s="83"/>
      <c r="C27" s="84"/>
      <c r="D27" s="85"/>
      <c r="E27" s="86"/>
      <c r="F27" s="87"/>
      <c r="G27" s="88">
        <f>G22+G25</f>
        <v>495000</v>
      </c>
      <c r="H27" s="89"/>
      <c r="I27" s="90"/>
      <c r="J27" s="90"/>
      <c r="K27" s="9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92" t="s">
        <v>35</v>
      </c>
      <c r="K28" s="5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8.25" customHeight="1">
      <c r="A29" s="93" t="s">
        <v>36</v>
      </c>
      <c r="B29" s="94"/>
      <c r="C29" s="94"/>
      <c r="D29" s="94"/>
      <c r="E29" s="94"/>
      <c r="F29" s="94"/>
      <c r="G29" s="94"/>
      <c r="H29" s="94"/>
      <c r="I29" s="94"/>
      <c r="J29" s="94"/>
      <c r="K29" s="9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19" t="s">
        <v>37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 t="s">
        <v>38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K1"/>
    <mergeCell ref="H3:K3"/>
    <mergeCell ref="F5:K5"/>
    <mergeCell ref="F6:K6"/>
    <mergeCell ref="G8:H8"/>
    <mergeCell ref="G9:H9"/>
    <mergeCell ref="C12:K12"/>
    <mergeCell ref="A14:B14"/>
    <mergeCell ref="C14:D14"/>
    <mergeCell ref="F14:G14"/>
    <mergeCell ref="H14:K14"/>
    <mergeCell ref="C15:D15"/>
    <mergeCell ref="F15:G15"/>
    <mergeCell ref="H15:K15"/>
    <mergeCell ref="H16:K27"/>
    <mergeCell ref="A28:K28"/>
    <mergeCell ref="A29:K29"/>
    <mergeCell ref="A32:K32"/>
    <mergeCell ref="A33:K33"/>
    <mergeCell ref="A34:K34"/>
    <mergeCell ref="A15:B15"/>
    <mergeCell ref="B16:B17"/>
    <mergeCell ref="C16:C17"/>
    <mergeCell ref="D16:D17"/>
    <mergeCell ref="E16:E17"/>
    <mergeCell ref="F16:F17"/>
    <mergeCell ref="G16:G17"/>
  </mergeCells>
  <hyperlinks>
    <hyperlink r:id="rId1" ref="M13"/>
  </hyperlinks>
  <printOptions/>
  <pageMargins bottom="0.75" footer="0.0" header="0.0" left="0.7" right="0.7" top="0.75"/>
  <pageSetup paperSize="9" scale="99" orientation="portrait"/>
  <drawing r:id="rId2"/>
</worksheet>
</file>